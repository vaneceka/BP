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5BA49217-29ED-F943-A429-46F067F32038}" xr6:coauthVersionLast="47" xr6:coauthVersionMax="47" xr10:uidLastSave="{00000000-0000-0000-0000-000000000000}"/>
  <bookViews>
    <workbookView xWindow="0" yWindow="700" windowWidth="34200" windowHeight="198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_xlchart.v1.1" hidden="1">data!$D$2:$D$23</definedName>
    <definedName name="hodnota">data!$E$28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 a="1"/>
  <c r="I30" i="1" s="1"/>
  <c r="F2" i="1"/>
  <c r="B28" i="1"/>
  <c r="E29" i="1"/>
  <c r="C28" i="1"/>
  <c r="D28" i="1"/>
  <c r="E28" i="1"/>
  <c r="B29" i="1"/>
  <c r="C29" i="1"/>
  <c r="D29" i="1"/>
  <c r="D30" i="1"/>
  <c r="E2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E30" i="1" l="1"/>
  <c r="B30" i="1"/>
  <c r="C30" i="1"/>
  <c r="F20" i="1" l="1"/>
  <c r="F8" i="1"/>
  <c r="F12" i="1"/>
  <c r="F13" i="1"/>
  <c r="F16" i="1"/>
  <c r="F17" i="1"/>
  <c r="F18" i="1"/>
  <c r="F19" i="1"/>
  <c r="F21" i="1"/>
  <c r="F22" i="1"/>
  <c r="F11" i="1"/>
  <c r="F10" i="1"/>
  <c r="F9" i="1"/>
  <c r="F3" i="1"/>
  <c r="F4" i="1"/>
  <c r="F6" i="1"/>
  <c r="F7" i="1"/>
  <c r="F5" i="1"/>
  <c r="F14" i="1"/>
  <c r="F23" i="1"/>
  <c r="F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<sst xmlns="http://schemas.openxmlformats.org/spreadsheetml/2006/main" count="35" uniqueCount="14">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</sst>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1" fillId="0" borderId="0" xfId="0" applyFont="1" applyAlignment="1">
      <alignment wrapText="1"/>
    </xf>
    <xf numFmtId="164" fontId="1" fillId="0" borderId="0" xfId="0" applyNumberFormat="1" applyFont="1"/>
    <xf numFmtId="164" fontId="0" fillId="0" borderId="0" xfId="0" applyNumberFormat="1"/>
  </cellXfs>
  <cellStyles count="1">
    <cellStyle name="Normální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Váha pacientů</a:t>
            </a:r>
            <a:r>
              <a:rPr lang="cs-CZ" baseline="0"/>
              <a:t> 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shape val="box"/>
        <c:axId val="463310784"/>
        <c:axId val="463312576"/>
        <c:axId val="0"/>
      </c:bar3DChart>
      <c:catAx>
        <c:axId val="46331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Váha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31751</xdr:colOff>
      <xdr:row>10</xdr:row>
      <xdr:rowOff>46565</xdr:rowOff>
    </xdr:from>
    <xdr:to>
      <xdr:col>14</xdr:col>
      <xdr:colOff>158751</xdr:colOff>
      <xdr:row>24</xdr:row>
      <xdr:rowOff>112182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1"/>
  <sheetViews>
    <sheetView tabSelected="1" zoomScale="120" zoomScaleNormal="120" workbookViewId="0">
      <selection activeCell="M28" sqref="M28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IF(pole&gt;E2,"ne","více")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24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1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23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  <c r="K13" s="25"/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13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13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13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13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>IF(E$30&gt;E20,"ne","více")</f>
        <v>více</v>
      </c>
    </row>
    <row r="21" spans="1:13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13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13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13" ht="16" thickBot="1" x14ac:dyDescent="0.25"/>
    <row r="27" spans="1:13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13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13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13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  <c r="I30" s="25" cm="1">
        <f t="array" ref="I30:I51">D2:D23/(C2:C23/100)^2</f>
        <v>22.169988904709889</v>
      </c>
      <c r="J30" s="25"/>
      <c r="M30" s="25"/>
    </row>
    <row r="31" spans="1:13" x14ac:dyDescent="0.2">
      <c r="I31">
        <v>40.609272228583599</v>
      </c>
    </row>
    <row r="32" spans="1:13" x14ac:dyDescent="0.2">
      <c r="I32">
        <v>20.194670685802109</v>
      </c>
    </row>
    <row r="33" spans="9:9" x14ac:dyDescent="0.2">
      <c r="I33">
        <v>36.520207581818859</v>
      </c>
    </row>
    <row r="34" spans="9:9" x14ac:dyDescent="0.2">
      <c r="I34">
        <v>18.998630788332839</v>
      </c>
    </row>
    <row r="35" spans="9:9" x14ac:dyDescent="0.2">
      <c r="I35">
        <v>25.338325253924282</v>
      </c>
    </row>
    <row r="36" spans="9:9" x14ac:dyDescent="0.2">
      <c r="I36">
        <v>24.040864408259427</v>
      </c>
    </row>
    <row r="37" spans="9:9" x14ac:dyDescent="0.2">
      <c r="I37">
        <v>27.122389574320355</v>
      </c>
    </row>
    <row r="38" spans="9:9" x14ac:dyDescent="0.2">
      <c r="I38">
        <v>35.963891819747673</v>
      </c>
    </row>
    <row r="39" spans="9:9" x14ac:dyDescent="0.2">
      <c r="I39">
        <v>21.750626929835043</v>
      </c>
    </row>
    <row r="40" spans="9:9" x14ac:dyDescent="0.2">
      <c r="I40">
        <v>38.937797430362174</v>
      </c>
    </row>
    <row r="41" spans="9:9" x14ac:dyDescent="0.2">
      <c r="I41">
        <v>25.060881057152045</v>
      </c>
    </row>
    <row r="42" spans="9:9" x14ac:dyDescent="0.2">
      <c r="I42">
        <v>32.8772876754065</v>
      </c>
    </row>
    <row r="43" spans="9:9" x14ac:dyDescent="0.2">
      <c r="I43">
        <v>39.195778105615709</v>
      </c>
    </row>
    <row r="44" spans="9:9" x14ac:dyDescent="0.2">
      <c r="I44">
        <v>38.541898334112503</v>
      </c>
    </row>
    <row r="45" spans="9:9" x14ac:dyDescent="0.2">
      <c r="I45">
        <v>40.522655178326467</v>
      </c>
    </row>
    <row r="46" spans="9:9" x14ac:dyDescent="0.2">
      <c r="I46">
        <v>29.405035554757085</v>
      </c>
    </row>
    <row r="47" spans="9:9" x14ac:dyDescent="0.2">
      <c r="I47">
        <v>31.30683726346486</v>
      </c>
    </row>
    <row r="48" spans="9:9" x14ac:dyDescent="0.2">
      <c r="I48">
        <v>45.06786690545762</v>
      </c>
    </row>
    <row r="49" spans="9:9" x14ac:dyDescent="0.2">
      <c r="I49">
        <v>24.87273119569911</v>
      </c>
    </row>
    <row r="50" spans="9:9" x14ac:dyDescent="0.2">
      <c r="I50">
        <v>30.765402404662261</v>
      </c>
    </row>
    <row r="51" spans="9:9" x14ac:dyDescent="0.2">
      <c r="I51">
        <v>41.674534691833401</v>
      </c>
    </row>
  </sheetData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2</vt:i4>
      </vt:variant>
    </vt:vector>
  </HeadingPairs>
  <TitlesOfParts>
    <vt:vector size="4" baseType="lpstr">
      <vt:lpstr>zdroj</vt:lpstr>
      <vt:lpstr>data</vt:lpstr>
      <vt:lpstr>hodnota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2026-01-19T19:43:35Z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
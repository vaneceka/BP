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́řská-práce/BP/"/>
    </mc:Choice>
  </mc:AlternateContent>
  <xr:revisionPtr revIDLastSave="0" documentId="13_ncr:1_{377FF2CD-A023-B34C-A15E-7EE4F68FC991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zdroj" sheetId="2" r:id="rId1"/>
    <sheet name="data" sheetId="1" r:id="rId2"/>
  </sheets>
  <definedNames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B28" i="1"/>
  <c r="C28" i="1"/>
  <c r="D28" i="1"/>
  <c r="E28" i="1"/>
  <c r="B29" i="1"/>
  <c r="C29" i="1"/>
  <c r="D29" i="1"/>
  <c r="E29" i="1"/>
  <c r="B30" i="1"/>
  <c r="C30" i="1"/>
  <c r="D30" i="1"/>
  <c r="E30" i="1"/>
  <c r="E2" i="1"/>
  <c r="F8" i="1" l="1"/>
  <c r="F12" i="1"/>
  <c r="F13" i="1"/>
  <c r="F14" i="1"/>
  <c r="F23" i="1"/>
  <c r="F15" i="1"/>
  <c r="F16" i="1"/>
  <c r="F17" i="1"/>
  <c r="F18" i="1"/>
  <c r="F19" i="1"/>
  <c r="F20" i="1"/>
  <c r="F21" i="1"/>
  <c r="F22" i="1"/>
  <c r="F11" i="1"/>
  <c r="F10" i="1"/>
  <c r="F9" i="1"/>
  <c r="F2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<sst xmlns="http://schemas.openxmlformats.org/spreadsheetml/2006/main" count="35" uniqueCount="14">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</sst>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171" fontId="0" fillId="0" borderId="0" xfId="0" applyNumberFormat="1"/>
    <xf numFmtId="171" fontId="0" fillId="2" borderId="0" xfId="0" applyNumberFormat="1" applyFill="1"/>
    <xf numFmtId="4" fontId="0" fillId="2" borderId="0" xfId="0" applyNumberFormat="1" applyFill="1"/>
    <xf numFmtId="4" fontId="1" fillId="2" borderId="0" xfId="0" applyNumberFormat="1" applyFont="1" applyFill="1"/>
  </cellXfs>
  <cellStyles count="1">
    <cellStyle name="Normální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C2" sqref="C2:E23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29.5" bestFit="1" customWidth="1"/>
    <col min="9" max="9" width="10.33203125" bestFit="1" customWidth="1"/>
    <col min="12" max="12" width="12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2">
      <c r="A2">
        <v>1</v>
      </c>
      <c r="B2" t="s">
        <v>6</v>
      </c>
      <c r="C2" s="4">
        <v>170.7</v>
      </c>
      <c r="D2" s="4">
        <v>64.599999999999994</v>
      </c>
      <c r="E2" s="5">
        <f>D2/(C2/100)^2</f>
        <v>22.169988904709889</v>
      </c>
      <c r="F2" s="1" t="str">
        <f>IF(E$30&gt;E2,"ne","více")</f>
        <v>ne</v>
      </c>
      <c r="G2" s="3"/>
      <c r="I2" s="2"/>
    </row>
    <row r="3" spans="1:11" x14ac:dyDescent="0.2">
      <c r="A3">
        <v>2</v>
      </c>
      <c r="B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1" t="str">
        <f t="shared" ref="F3:F23" si="1">IF(E$30&gt;E3,"ne","více")</f>
        <v>více</v>
      </c>
      <c r="I3" s="2"/>
      <c r="J3" s="2"/>
      <c r="K3" s="2"/>
    </row>
    <row r="4" spans="1:11" x14ac:dyDescent="0.2">
      <c r="A4">
        <v>3</v>
      </c>
      <c r="B4" t="s">
        <v>6</v>
      </c>
      <c r="C4" s="4">
        <v>183.5</v>
      </c>
      <c r="D4" s="4">
        <v>68</v>
      </c>
      <c r="E4" s="5">
        <f t="shared" si="0"/>
        <v>20.194670685802109</v>
      </c>
      <c r="F4" s="1" t="str">
        <f t="shared" si="1"/>
        <v>ne</v>
      </c>
      <c r="I4" s="2"/>
      <c r="J4" s="2"/>
      <c r="K4" s="2"/>
    </row>
    <row r="5" spans="1:11" x14ac:dyDescent="0.2">
      <c r="A5">
        <v>4</v>
      </c>
      <c r="B5" t="s">
        <v>7</v>
      </c>
      <c r="C5" s="4">
        <v>158.19999999999999</v>
      </c>
      <c r="D5" s="4">
        <v>91.4</v>
      </c>
      <c r="E5" s="5">
        <f t="shared" si="0"/>
        <v>36.520207581818859</v>
      </c>
      <c r="F5" s="1" t="str">
        <f t="shared" si="1"/>
        <v>více</v>
      </c>
      <c r="I5" s="2"/>
      <c r="J5" s="2"/>
      <c r="K5" s="2"/>
    </row>
    <row r="6" spans="1:11" x14ac:dyDescent="0.2">
      <c r="A6">
        <v>5</v>
      </c>
      <c r="B6" t="s">
        <v>7</v>
      </c>
      <c r="C6" s="4">
        <v>170.3</v>
      </c>
      <c r="D6" s="4">
        <v>55.1</v>
      </c>
      <c r="E6" s="5">
        <f t="shared" si="0"/>
        <v>18.998630788332839</v>
      </c>
      <c r="F6" s="1" t="str">
        <f t="shared" si="1"/>
        <v>ne</v>
      </c>
      <c r="I6" s="2"/>
      <c r="J6" s="2"/>
    </row>
    <row r="7" spans="1:11" x14ac:dyDescent="0.2">
      <c r="A7">
        <v>6</v>
      </c>
      <c r="B7" t="s">
        <v>7</v>
      </c>
      <c r="C7" s="4">
        <v>182.4</v>
      </c>
      <c r="D7" s="4">
        <v>84.3</v>
      </c>
      <c r="E7" s="5">
        <f t="shared" si="0"/>
        <v>25.338325253924282</v>
      </c>
      <c r="F7" s="1" t="str">
        <f t="shared" si="1"/>
        <v>ne</v>
      </c>
      <c r="I7" s="2"/>
      <c r="J7" s="2"/>
    </row>
    <row r="8" spans="1:11" x14ac:dyDescent="0.2">
      <c r="A8">
        <v>7</v>
      </c>
      <c r="B8" t="s">
        <v>6</v>
      </c>
      <c r="C8" s="4">
        <v>177.8</v>
      </c>
      <c r="D8" s="4">
        <v>76</v>
      </c>
      <c r="E8" s="5">
        <f t="shared" si="0"/>
        <v>24.040864408259427</v>
      </c>
      <c r="F8" s="1" t="str">
        <f t="shared" si="1"/>
        <v>ne</v>
      </c>
    </row>
    <row r="9" spans="1:11" x14ac:dyDescent="0.2">
      <c r="A9">
        <v>8</v>
      </c>
      <c r="B9" t="s">
        <v>7</v>
      </c>
      <c r="C9" s="4">
        <v>189.6</v>
      </c>
      <c r="D9" s="4">
        <v>97.5</v>
      </c>
      <c r="E9" s="5">
        <f t="shared" si="0"/>
        <v>27.122389574320355</v>
      </c>
      <c r="F9" s="1" t="str">
        <f t="shared" si="1"/>
        <v>ne</v>
      </c>
    </row>
    <row r="10" spans="1:11" x14ac:dyDescent="0.2">
      <c r="A10">
        <v>9</v>
      </c>
      <c r="B10" t="s">
        <v>6</v>
      </c>
      <c r="C10" s="4">
        <v>166.5</v>
      </c>
      <c r="D10" s="4">
        <v>99.7</v>
      </c>
      <c r="E10" s="5">
        <f t="shared" si="0"/>
        <v>35.963891819747673</v>
      </c>
      <c r="F10" s="1" t="str">
        <f t="shared" si="1"/>
        <v>více</v>
      </c>
    </row>
    <row r="11" spans="1:11" x14ac:dyDescent="0.2">
      <c r="A11">
        <v>10</v>
      </c>
      <c r="B11" t="s">
        <v>6</v>
      </c>
      <c r="C11" s="4">
        <v>160.6</v>
      </c>
      <c r="D11" s="4">
        <v>56.1</v>
      </c>
      <c r="E11" s="5">
        <f t="shared" si="0"/>
        <v>21.750626929835043</v>
      </c>
      <c r="F11" s="1" t="str">
        <f t="shared" si="1"/>
        <v>ne</v>
      </c>
    </row>
    <row r="12" spans="1:11" x14ac:dyDescent="0.2">
      <c r="A12">
        <v>11</v>
      </c>
      <c r="B12" t="s">
        <v>6</v>
      </c>
      <c r="C12" s="4">
        <v>176.5</v>
      </c>
      <c r="D12" s="4">
        <v>121.3</v>
      </c>
      <c r="E12" s="5">
        <f t="shared" si="0"/>
        <v>38.937797430362174</v>
      </c>
      <c r="F12" s="1" t="str">
        <f t="shared" si="1"/>
        <v>více</v>
      </c>
    </row>
    <row r="13" spans="1:11" x14ac:dyDescent="0.2">
      <c r="A13">
        <v>12</v>
      </c>
      <c r="B13" t="s">
        <v>6</v>
      </c>
      <c r="C13" s="4">
        <v>173.8</v>
      </c>
      <c r="D13" s="4">
        <v>75.7</v>
      </c>
      <c r="E13" s="5">
        <f t="shared" si="0"/>
        <v>25.060881057152045</v>
      </c>
      <c r="F13" s="1" t="str">
        <f t="shared" si="1"/>
        <v>ne</v>
      </c>
    </row>
    <row r="14" spans="1:11" x14ac:dyDescent="0.2">
      <c r="A14">
        <v>13</v>
      </c>
      <c r="B14" t="s">
        <v>6</v>
      </c>
      <c r="C14" s="4">
        <v>186.7</v>
      </c>
      <c r="D14" s="4">
        <v>114.6</v>
      </c>
      <c r="E14" s="5">
        <f t="shared" si="0"/>
        <v>32.8772876754065</v>
      </c>
      <c r="F14" s="1" t="str">
        <f t="shared" si="1"/>
        <v>více</v>
      </c>
    </row>
    <row r="15" spans="1:11" x14ac:dyDescent="0.2">
      <c r="A15">
        <v>14</v>
      </c>
      <c r="B15" t="s">
        <v>6</v>
      </c>
      <c r="C15" s="4">
        <v>167.6</v>
      </c>
      <c r="D15" s="4">
        <v>110.1</v>
      </c>
      <c r="E15" s="5">
        <f t="shared" si="0"/>
        <v>39.195778105615709</v>
      </c>
      <c r="F15" s="1" t="str">
        <f t="shared" si="1"/>
        <v>více</v>
      </c>
    </row>
    <row r="16" spans="1:11" x14ac:dyDescent="0.2">
      <c r="A16">
        <v>15</v>
      </c>
      <c r="B16" t="s">
        <v>7</v>
      </c>
      <c r="C16" s="4">
        <v>162.6</v>
      </c>
      <c r="D16" s="4">
        <v>101.9</v>
      </c>
      <c r="E16" s="5">
        <f t="shared" si="0"/>
        <v>38.541898334112503</v>
      </c>
      <c r="F16" s="1" t="str">
        <f t="shared" si="1"/>
        <v>více</v>
      </c>
    </row>
    <row r="17" spans="1:6" x14ac:dyDescent="0.2">
      <c r="A17">
        <v>16</v>
      </c>
      <c r="B17" t="s">
        <v>7</v>
      </c>
      <c r="C17" s="4">
        <v>172.8</v>
      </c>
      <c r="D17" s="4">
        <v>121</v>
      </c>
      <c r="E17" s="5">
        <f t="shared" si="0"/>
        <v>40.522655178326467</v>
      </c>
      <c r="F17" s="1" t="str">
        <f t="shared" si="1"/>
        <v>více</v>
      </c>
    </row>
    <row r="18" spans="1:6" x14ac:dyDescent="0.2">
      <c r="A18">
        <v>17</v>
      </c>
      <c r="B18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1" t="str">
        <f t="shared" si="1"/>
        <v>ne</v>
      </c>
    </row>
    <row r="19" spans="1:6" x14ac:dyDescent="0.2">
      <c r="A19">
        <v>18</v>
      </c>
      <c r="B19" t="s">
        <v>7</v>
      </c>
      <c r="C19" s="4">
        <v>182.7</v>
      </c>
      <c r="D19" s="4">
        <v>104.5</v>
      </c>
      <c r="E19" s="5">
        <f t="shared" si="0"/>
        <v>31.30683726346486</v>
      </c>
      <c r="F19" s="1" t="str">
        <f t="shared" si="1"/>
        <v>více</v>
      </c>
    </row>
    <row r="20" spans="1:6" x14ac:dyDescent="0.2">
      <c r="A20">
        <v>19</v>
      </c>
      <c r="B20" t="s">
        <v>6</v>
      </c>
      <c r="C20" s="4">
        <v>164.8</v>
      </c>
      <c r="D20" s="4">
        <v>122.4</v>
      </c>
      <c r="E20" s="5">
        <f t="shared" si="0"/>
        <v>45.06786690545762</v>
      </c>
      <c r="F20" s="1" t="str">
        <f t="shared" si="1"/>
        <v>více</v>
      </c>
    </row>
    <row r="21" spans="1:6" x14ac:dyDescent="0.2">
      <c r="A21">
        <v>20</v>
      </c>
      <c r="B21" t="s">
        <v>7</v>
      </c>
      <c r="C21" s="4">
        <v>173.3</v>
      </c>
      <c r="D21" s="4">
        <v>74.7</v>
      </c>
      <c r="E21" s="5">
        <f t="shared" si="0"/>
        <v>24.87273119569911</v>
      </c>
      <c r="F21" s="1" t="str">
        <f t="shared" si="1"/>
        <v>ne</v>
      </c>
    </row>
    <row r="22" spans="1:6" x14ac:dyDescent="0.2">
      <c r="A22">
        <v>21</v>
      </c>
      <c r="B22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1" t="str">
        <f t="shared" si="1"/>
        <v>ne</v>
      </c>
    </row>
    <row r="23" spans="1:6" x14ac:dyDescent="0.2">
      <c r="A23">
        <v>22</v>
      </c>
      <c r="B23" t="s">
        <v>6</v>
      </c>
      <c r="C23" s="4">
        <v>174.5</v>
      </c>
      <c r="D23" s="4">
        <v>126.9</v>
      </c>
      <c r="E23" s="5">
        <f>D23/(C23/100)^2</f>
        <v>41.674534691833401</v>
      </c>
      <c r="F23" s="1" t="str">
        <f t="shared" si="1"/>
        <v>více</v>
      </c>
    </row>
    <row r="27" spans="1:6" x14ac:dyDescent="0.2">
      <c r="B27" t="s">
        <v>8</v>
      </c>
      <c r="C27" t="s">
        <v>9</v>
      </c>
      <c r="D27" t="s">
        <v>10</v>
      </c>
      <c r="E27" t="s">
        <v>11</v>
      </c>
    </row>
    <row r="28" spans="1:6" x14ac:dyDescent="0.2">
      <c r="A28" t="s">
        <v>12</v>
      </c>
      <c r="B28" s="6">
        <f>MIN(C2:C23)</f>
        <v>158.1</v>
      </c>
      <c r="C28" s="6">
        <f>MAX(C2:C23)</f>
        <v>189.6</v>
      </c>
      <c r="D28" s="6">
        <f>AVERAGE(C2:C23)</f>
        <v>171.55454545454543</v>
      </c>
      <c r="E28" s="6">
        <f>MEDIAN(C2:C23)</f>
        <v>171.75</v>
      </c>
    </row>
    <row r="29" spans="1:6" x14ac:dyDescent="0.2">
      <c r="A29" t="s">
        <v>13</v>
      </c>
      <c r="B29" s="6">
        <f>MIN(D2:D23)</f>
        <v>55.1</v>
      </c>
      <c r="C29" s="6">
        <f>MAX(D2:D23)</f>
        <v>126.9</v>
      </c>
      <c r="D29" s="6">
        <f>AVERAGE(D2:D23)</f>
        <v>91.954545454545482</v>
      </c>
      <c r="E29" s="6">
        <f>MEDIAN(D2:D23)</f>
        <v>94.45</v>
      </c>
    </row>
    <row r="30" spans="1:6" x14ac:dyDescent="0.2">
      <c r="A30" t="s">
        <v>4</v>
      </c>
      <c r="B30" s="7">
        <f>MIN(E2:E23)</f>
        <v>18.998630788332839</v>
      </c>
      <c r="C30" s="6">
        <f>MAX(E2:E23)</f>
        <v>45.06786690545762</v>
      </c>
      <c r="D30" s="6">
        <f>AVERAGE(E2:E23)</f>
        <v>31.406253362371999</v>
      </c>
      <c r="E30" s="6">
        <f>MEDIAN(E2:E23)</f>
        <v>31.036119834063562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1</vt:i4>
      </vt:variant>
    </vt:vector>
  </HeadingPairs>
  <TitlesOfParts>
    <vt:vector size="3" baseType="lpstr">
      <vt:lpstr>zdroj</vt:lpstr>
      <vt:lpstr>data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2025-12-30T19:34:41Z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
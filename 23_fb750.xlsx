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31490ED1-E0E0-4041-984D-D7368A7CED3B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B28" i="1"/>
  <c r="C28" i="1"/>
  <c r="D28" i="1"/>
  <c r="E28" i="1"/>
  <c r="B29" i="1"/>
  <c r="C29" i="1"/>
  <c r="D29" i="1"/>
  <c r="E29" i="1"/>
  <c r="B30" i="1"/>
  <c r="C30" i="1"/>
  <c r="D30" i="1"/>
  <c r="E30" i="1"/>
  <c r="E2" i="1"/>
  <c r="F8" i="1" l="1"/>
  <c r="F12" i="1"/>
  <c r="F13" i="1"/>
  <c r="F14" i="1"/>
  <c r="F23" i="1"/>
  <c r="F15" i="1"/>
  <c r="F16" i="1"/>
  <c r="F17" i="1"/>
  <c r="F18" i="1"/>
  <c r="F19" i="1"/>
  <c r="F20" i="1"/>
  <c r="F21" i="1"/>
  <c r="F22" i="1"/>
  <c r="F11" i="1"/>
  <c r="F10" i="1"/>
  <c r="F9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<sst xmlns="http://schemas.openxmlformats.org/spreadsheetml/2006/main" count="35" uniqueCount="14">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</sst>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#,##0.0"/>
  </numFmts>
  <fonts count="2" x14ac:knownFonts="1">
    <font>
      <sz val="11"/>
      <color rgb="FF000000"/>
      <name val="Calibri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71" fontId="0" fillId="0" borderId="1" xfId="0" applyNumberFormat="1" applyBorder="1" applyAlignment="1">
      <alignment horizontal="left"/>
    </xf>
    <xf numFmtId="171" fontId="0" fillId="2" borderId="1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71" fontId="0" fillId="0" borderId="8" xfId="0" applyNumberFormat="1" applyBorder="1" applyAlignment="1">
      <alignment horizontal="left"/>
    </xf>
    <xf numFmtId="171" fontId="0" fillId="2" borderId="8" xfId="0" applyNumberFormat="1" applyFill="1" applyBorder="1"/>
    <xf numFmtId="0" fontId="0" fillId="2" borderId="9" xfId="0" applyFill="1" applyBorder="1"/>
    <xf numFmtId="4" fontId="0" fillId="2" borderId="1" xfId="0" applyNumberFormat="1" applyFill="1" applyBorder="1"/>
    <xf numFmtId="0" fontId="0" fillId="0" borderId="2" xfId="0" applyBorder="1"/>
    <xf numFmtId="0" fontId="0" fillId="0" borderId="5" xfId="0" applyBorder="1"/>
    <xf numFmtId="4" fontId="0" fillId="2" borderId="6" xfId="0" applyNumberFormat="1" applyFill="1" applyBorder="1"/>
    <xf numFmtId="0" fontId="0" fillId="0" borderId="7" xfId="0" applyBorder="1"/>
    <xf numFmtId="4" fontId="1" fillId="2" borderId="8" xfId="0" applyNumberFormat="1" applyFont="1" applyFill="1" applyBorder="1"/>
    <xf numFmtId="4" fontId="0" fillId="2" borderId="8" xfId="0" applyNumberFormat="1" applyFill="1" applyBorder="1"/>
    <xf numFmtId="4" fontId="0" fillId="2" borderId="9" xfId="0" applyNumberFormat="1" applyFill="1" applyBorder="1"/>
  </cellXfs>
  <cellStyles count="1">
    <cellStyle name="Normální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L30" sqref="L30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29.5" bestFit="1" customWidth="1"/>
    <col min="9" max="9" width="10.33203125" bestFit="1" customWidth="1"/>
    <col min="12" max="12" width="12.5" bestFit="1" customWidth="1"/>
  </cols>
  <sheetData>
    <row r="1" spans="1:11" x14ac:dyDescent="0.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</row>
    <row r="2" spans="1:11" x14ac:dyDescent="0.2">
      <c r="A2" s="9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10" t="str">
        <f>IF(E$30&gt;E2,"ne","více")</f>
        <v>ne</v>
      </c>
      <c r="G2" s="2"/>
      <c r="I2" s="1"/>
    </row>
    <row r="3" spans="1:11" x14ac:dyDescent="0.2">
      <c r="A3" s="9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10" t="str">
        <f t="shared" ref="F3:F23" si="1">IF(E$30&gt;E3,"ne","více")</f>
        <v>více</v>
      </c>
      <c r="I3" s="1"/>
      <c r="J3" s="1"/>
      <c r="K3" s="1"/>
    </row>
    <row r="4" spans="1:11" x14ac:dyDescent="0.2">
      <c r="A4" s="9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10" t="str">
        <f t="shared" si="1"/>
        <v>ne</v>
      </c>
      <c r="I4" s="1"/>
      <c r="J4" s="1"/>
      <c r="K4" s="1"/>
    </row>
    <row r="5" spans="1:11" x14ac:dyDescent="0.2">
      <c r="A5" s="9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10" t="str">
        <f t="shared" si="1"/>
        <v>více</v>
      </c>
      <c r="I5" s="1"/>
      <c r="J5" s="1"/>
      <c r="K5" s="1"/>
    </row>
    <row r="6" spans="1:11" x14ac:dyDescent="0.2">
      <c r="A6" s="9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10" t="str">
        <f t="shared" si="1"/>
        <v>ne</v>
      </c>
      <c r="I6" s="1"/>
      <c r="J6" s="1"/>
    </row>
    <row r="7" spans="1:11" x14ac:dyDescent="0.2">
      <c r="A7" s="9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10" t="str">
        <f t="shared" si="1"/>
        <v>ne</v>
      </c>
      <c r="I7" s="1"/>
      <c r="J7" s="1"/>
    </row>
    <row r="8" spans="1:11" x14ac:dyDescent="0.2">
      <c r="A8" s="9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10" t="str">
        <f t="shared" si="1"/>
        <v>ne</v>
      </c>
    </row>
    <row r="9" spans="1:11" x14ac:dyDescent="0.2">
      <c r="A9" s="9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10" t="str">
        <f t="shared" si="1"/>
        <v>ne</v>
      </c>
    </row>
    <row r="10" spans="1:11" x14ac:dyDescent="0.2">
      <c r="A10" s="9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10" t="str">
        <f t="shared" si="1"/>
        <v>více</v>
      </c>
    </row>
    <row r="11" spans="1:11" x14ac:dyDescent="0.2">
      <c r="A11" s="9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10" t="str">
        <f t="shared" si="1"/>
        <v>ne</v>
      </c>
    </row>
    <row r="12" spans="1:11" x14ac:dyDescent="0.2">
      <c r="A12" s="9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10" t="str">
        <f t="shared" si="1"/>
        <v>více</v>
      </c>
    </row>
    <row r="13" spans="1:11" x14ac:dyDescent="0.2">
      <c r="A13" s="9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10" t="str">
        <f t="shared" si="1"/>
        <v>ne</v>
      </c>
    </row>
    <row r="14" spans="1:11" x14ac:dyDescent="0.2">
      <c r="A14" s="9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10" t="str">
        <f t="shared" si="1"/>
        <v>více</v>
      </c>
    </row>
    <row r="15" spans="1:11" x14ac:dyDescent="0.2">
      <c r="A15" s="9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10" t="str">
        <f t="shared" si="1"/>
        <v>více</v>
      </c>
    </row>
    <row r="16" spans="1:11" x14ac:dyDescent="0.2">
      <c r="A16" s="9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10" t="str">
        <f t="shared" si="1"/>
        <v>více</v>
      </c>
    </row>
    <row r="17" spans="1:6" x14ac:dyDescent="0.2">
      <c r="A17" s="9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10" t="str">
        <f t="shared" si="1"/>
        <v>více</v>
      </c>
    </row>
    <row r="18" spans="1:6" x14ac:dyDescent="0.2">
      <c r="A18" s="9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10" t="str">
        <f t="shared" si="1"/>
        <v>ne</v>
      </c>
    </row>
    <row r="19" spans="1:6" x14ac:dyDescent="0.2">
      <c r="A19" s="9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10" t="str">
        <f t="shared" si="1"/>
        <v>více</v>
      </c>
    </row>
    <row r="20" spans="1:6" x14ac:dyDescent="0.2">
      <c r="A20" s="9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10" t="str">
        <f t="shared" si="1"/>
        <v>více</v>
      </c>
    </row>
    <row r="21" spans="1:6" x14ac:dyDescent="0.2">
      <c r="A21" s="9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10" t="str">
        <f t="shared" si="1"/>
        <v>ne</v>
      </c>
    </row>
    <row r="22" spans="1:6" x14ac:dyDescent="0.2">
      <c r="A22" s="9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10" t="str">
        <f t="shared" si="1"/>
        <v>ne</v>
      </c>
    </row>
    <row r="23" spans="1:6" ht="16" thickBot="1" x14ac:dyDescent="0.25">
      <c r="A23" s="11">
        <v>22</v>
      </c>
      <c r="B23" s="12" t="s">
        <v>6</v>
      </c>
      <c r="C23" s="13">
        <v>174.5</v>
      </c>
      <c r="D23" s="13">
        <v>126.9</v>
      </c>
      <c r="E23" s="14">
        <f>D23/(C23/100)^2</f>
        <v>41.674534691833401</v>
      </c>
      <c r="F23" s="15" t="str">
        <f t="shared" si="1"/>
        <v>více</v>
      </c>
    </row>
    <row r="26" spans="1:6" ht="16" thickBot="1" x14ac:dyDescent="0.25"/>
    <row r="27" spans="1:6" x14ac:dyDescent="0.2">
      <c r="A27" s="17"/>
      <c r="B27" s="7" t="s">
        <v>8</v>
      </c>
      <c r="C27" s="7" t="s">
        <v>9</v>
      </c>
      <c r="D27" s="7" t="s">
        <v>10</v>
      </c>
      <c r="E27" s="8" t="s">
        <v>11</v>
      </c>
    </row>
    <row r="28" spans="1:6" x14ac:dyDescent="0.2">
      <c r="A28" s="18" t="s">
        <v>12</v>
      </c>
      <c r="B28" s="16">
        <f>MIN(C2:C23)</f>
        <v>158.1</v>
      </c>
      <c r="C28" s="16">
        <f>MAX(C2:C23)</f>
        <v>189.6</v>
      </c>
      <c r="D28" s="16">
        <f>AVERAGE(C2:C23)</f>
        <v>171.55454545454543</v>
      </c>
      <c r="E28" s="19">
        <f>MEDIAN(C2:C23)</f>
        <v>171.75</v>
      </c>
    </row>
    <row r="29" spans="1:6" x14ac:dyDescent="0.2">
      <c r="A29" s="18" t="s">
        <v>13</v>
      </c>
      <c r="B29" s="16">
        <f>MIN(D2:D23)</f>
        <v>55.1</v>
      </c>
      <c r="C29" s="16">
        <f>MAX(D2:D23)</f>
        <v>126.9</v>
      </c>
      <c r="D29" s="16">
        <f>AVERAGE(D2:D23)</f>
        <v>91.954545454545482</v>
      </c>
      <c r="E29" s="19">
        <f>MEDIAN(D2:D23)</f>
        <v>94.45</v>
      </c>
    </row>
    <row r="30" spans="1:6" ht="16" thickBot="1" x14ac:dyDescent="0.25">
      <c r="A30" s="20" t="s">
        <v>4</v>
      </c>
      <c r="B30" s="21">
        <f>MIN(E2:E23)</f>
        <v>18.998630788332839</v>
      </c>
      <c r="C30" s="22">
        <f>MAX(E2:E23)</f>
        <v>45.06786690545762</v>
      </c>
      <c r="D30" s="22">
        <f>AVERAGE(E2:E23)</f>
        <v>31.406253362371999</v>
      </c>
      <c r="E30" s="23">
        <f>MEDIAN(E2:E23)</f>
        <v>31.036119834063562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1</vt:i4>
      </vt:variant>
    </vt:vector>
  </HeadingPairs>
  <TitlesOfParts>
    <vt:vector size="3" baseType="lpstr">
      <vt:lpstr>zdroj</vt:lpstr>
      <vt:lpstr>data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2025-12-30T20:43:58Z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